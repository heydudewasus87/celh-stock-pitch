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aatvikmachiraju/Downloads/"/>
    </mc:Choice>
  </mc:AlternateContent>
  <xr:revisionPtr revIDLastSave="0" documentId="13_ncr:1_{E3BDBD95-8029-5240-86DB-C77D925B87AF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ummary" sheetId="1" r:id="rId1"/>
    <sheet name="Inputs" sheetId="2" r:id="rId2"/>
    <sheet name="DCF" sheetId="3" r:id="rId3"/>
    <sheet name="Comp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4" l="1"/>
  <c r="B14" i="4"/>
  <c r="B13" i="4"/>
  <c r="B12" i="4"/>
  <c r="E9" i="4"/>
  <c r="B20" i="4" s="1"/>
  <c r="B11" i="1" s="1"/>
  <c r="D9" i="4"/>
  <c r="C9" i="4"/>
  <c r="B27" i="3"/>
  <c r="B25" i="3"/>
  <c r="G16" i="3"/>
  <c r="F16" i="3"/>
  <c r="E16" i="3"/>
  <c r="D16" i="3"/>
  <c r="C16" i="3"/>
  <c r="G9" i="3"/>
  <c r="F9" i="3"/>
  <c r="E9" i="3"/>
  <c r="D9" i="3"/>
  <c r="C9" i="3"/>
  <c r="B8" i="3"/>
  <c r="B6" i="3"/>
  <c r="C6" i="3" s="1"/>
  <c r="B10" i="2"/>
  <c r="B15" i="4" s="1"/>
  <c r="B7" i="2"/>
  <c r="B13" i="1"/>
  <c r="B11" i="2" l="1"/>
  <c r="B18" i="4"/>
  <c r="C8" i="3"/>
  <c r="C10" i="3" s="1"/>
  <c r="C12" i="3"/>
  <c r="C11" i="3"/>
  <c r="C13" i="3"/>
  <c r="D6" i="3"/>
  <c r="B19" i="4"/>
  <c r="B23" i="3"/>
  <c r="B21" i="4" l="1"/>
  <c r="B10" i="1"/>
  <c r="D12" i="3"/>
  <c r="D8" i="3"/>
  <c r="D10" i="3" s="1"/>
  <c r="E6" i="3"/>
  <c r="D13" i="3"/>
  <c r="D11" i="3"/>
  <c r="C14" i="3"/>
  <c r="C17" i="3" l="1"/>
  <c r="D14" i="3"/>
  <c r="D17" i="3" s="1"/>
  <c r="E12" i="3"/>
  <c r="E8" i="3"/>
  <c r="E10" i="3" s="1"/>
  <c r="F6" i="3"/>
  <c r="E11" i="3"/>
  <c r="E13" i="3"/>
  <c r="F12" i="3" l="1"/>
  <c r="G6" i="3"/>
  <c r="F11" i="3"/>
  <c r="F13" i="3"/>
  <c r="F8" i="3"/>
  <c r="F10" i="3" s="1"/>
  <c r="F14" i="3" s="1"/>
  <c r="F17" i="3" s="1"/>
  <c r="E14" i="3"/>
  <c r="E17" i="3" s="1"/>
  <c r="G11" i="3" l="1"/>
  <c r="G8" i="3"/>
  <c r="G10" i="3" s="1"/>
  <c r="G12" i="3"/>
  <c r="G13" i="3"/>
  <c r="G14" i="3" l="1"/>
  <c r="B20" i="3" l="1"/>
  <c r="B21" i="3" s="1"/>
  <c r="G17" i="3"/>
  <c r="B19" i="3" s="1"/>
  <c r="B22" i="3" s="1"/>
  <c r="B24" i="3" s="1"/>
  <c r="B26" i="3" s="1"/>
  <c r="G37" i="3"/>
  <c r="C37" i="3"/>
  <c r="B9" i="1" s="1"/>
  <c r="C36" i="3"/>
  <c r="D36" i="3"/>
  <c r="D33" i="3"/>
  <c r="C33" i="3"/>
  <c r="F35" i="3"/>
  <c r="G34" i="3"/>
  <c r="G33" i="3"/>
  <c r="B8" i="1" s="1"/>
  <c r="F34" i="3"/>
  <c r="D34" i="3"/>
  <c r="G36" i="3"/>
  <c r="G35" i="3"/>
  <c r="F33" i="3"/>
  <c r="E33" i="3"/>
  <c r="E36" i="3"/>
  <c r="E35" i="3"/>
  <c r="D35" i="3"/>
  <c r="F37" i="3"/>
  <c r="E37" i="3"/>
  <c r="F36" i="3"/>
  <c r="D37" i="3"/>
  <c r="E34" i="3"/>
  <c r="C35" i="3"/>
  <c r="C34" i="3"/>
  <c r="B28" i="3" l="1"/>
  <c r="B7" i="1"/>
  <c r="B12" i="1" s="1"/>
  <c r="B14" i="1" s="1"/>
</calcChain>
</file>

<file path=xl/sharedStrings.xml><?xml version="1.0" encoding="utf-8"?>
<sst xmlns="http://schemas.openxmlformats.org/spreadsheetml/2006/main" count="119" uniqueCount="112">
  <si>
    <t>Celsius Holdings (CELH) — Valuation Summary</t>
  </si>
  <si>
    <t>Personal equity research project — DCF + comparable companies. $ per share unless noted.</t>
  </si>
  <si>
    <t>Recommendation</t>
  </si>
  <si>
    <t>HOLD</t>
  </si>
  <si>
    <t>Valuation method</t>
  </si>
  <si>
    <t>Value / share</t>
  </si>
  <si>
    <t>DCF — base case</t>
  </si>
  <si>
    <t>WACC 9.5%, term. g 3.0%</t>
  </si>
  <si>
    <t>DCF — bull case</t>
  </si>
  <si>
    <t>WACC 8.5%, term. g 4.0%</t>
  </si>
  <si>
    <t>DCF — bear case</t>
  </si>
  <si>
    <t>WACC 10.5%, term. g 2.0%</t>
  </si>
  <si>
    <t>Comps — EV/EBITDA</t>
  </si>
  <si>
    <t>peer median EV/EBITDA</t>
  </si>
  <si>
    <t>Comps — P/E</t>
  </si>
  <si>
    <t>peer median P/E</t>
  </si>
  <si>
    <t>Blended target</t>
  </si>
  <si>
    <t>avg of base DCF + comps</t>
  </si>
  <si>
    <t>Current price</t>
  </si>
  <si>
    <t>Upside / (downside)</t>
  </si>
  <si>
    <t>Implied value by method ($/share)</t>
  </si>
  <si>
    <t>Celsius Holdings (CELH) — Model Inputs</t>
  </si>
  <si>
    <t>$ in millions, except per-share data</t>
  </si>
  <si>
    <t>Market data</t>
  </si>
  <si>
    <t>Current share price</t>
  </si>
  <si>
    <t>Source: Yahoo Finance, CELH, Jun 2026</t>
  </si>
  <si>
    <t>Diluted shares outstanding (mm)</t>
  </si>
  <si>
    <t>Market cap / price (~$7.7B / $30.50)</t>
  </si>
  <si>
    <t>Market capitalization</t>
  </si>
  <si>
    <t>Total debt</t>
  </si>
  <si>
    <t>Term Loan B for Alani Nu acquisition (~$900mm)</t>
  </si>
  <si>
    <t>Cash &amp; equivalents</t>
  </si>
  <si>
    <t>Source: Celsius FY2025 results</t>
  </si>
  <si>
    <t>Net debt</t>
  </si>
  <si>
    <t>Enterprise value</t>
  </si>
  <si>
    <t>Financials</t>
  </si>
  <si>
    <t>FY2025 revenue</t>
  </si>
  <si>
    <t>Source: Celsius FY2025 results (record $2.5B)</t>
  </si>
  <si>
    <t>TTM revenue</t>
  </si>
  <si>
    <t>Source: Yahoo Finance, TTM Jun 2026</t>
  </si>
  <si>
    <t>FY2025 EBIT</t>
  </si>
  <si>
    <t>Source: Macrotrends, FY2025 EBIT</t>
  </si>
  <si>
    <t>Adj. EBITDA (TTM, est.)</t>
  </si>
  <si>
    <t>Approx adjusted EBITDA; refresh from filings</t>
  </si>
  <si>
    <t>Adj. diluted EPS (TTM)</t>
  </si>
  <si>
    <t>Source: Celsius FY2025 non-GAAP adj. EPS</t>
  </si>
  <si>
    <t>DCF assumptions</t>
  </si>
  <si>
    <t>Tax rate</t>
  </si>
  <si>
    <t>Assumption (statutory ~21% + state)</t>
  </si>
  <si>
    <t>WACC</t>
  </si>
  <si>
    <t>Assumption (beverage growth co.)</t>
  </si>
  <si>
    <t>Terminal growth rate</t>
  </si>
  <si>
    <t>Assumption (long-run, ~GDP+)</t>
  </si>
  <si>
    <t>D&amp;A (% of revenue)</t>
  </si>
  <si>
    <t>Assumption</t>
  </si>
  <si>
    <t>Capex (% of revenue)</t>
  </si>
  <si>
    <t>Δ NWC (% of Δ revenue)</t>
  </si>
  <si>
    <t>Celsius Holdings (CELH) — Discounted Cash Flow</t>
  </si>
  <si>
    <t>FY2025A</t>
  </si>
  <si>
    <t>FY2026E</t>
  </si>
  <si>
    <t>FY2027E</t>
  </si>
  <si>
    <t>FY2028E</t>
  </si>
  <si>
    <t>FY2029E</t>
  </si>
  <si>
    <t>FY2030E</t>
  </si>
  <si>
    <t>Revenue growth %</t>
  </si>
  <si>
    <t>Revenue</t>
  </si>
  <si>
    <t>EBIT margin %</t>
  </si>
  <si>
    <t>EBIT</t>
  </si>
  <si>
    <t>Tax rate %</t>
  </si>
  <si>
    <t>NOPAT</t>
  </si>
  <si>
    <t>(+) D&amp;A</t>
  </si>
  <si>
    <t>(-) Capex</t>
  </si>
  <si>
    <t>(-) Δ NWC</t>
  </si>
  <si>
    <t>Unlevered FCF</t>
  </si>
  <si>
    <t>Discount period</t>
  </si>
  <si>
    <t>Discount factor</t>
  </si>
  <si>
    <t>PV of FCF</t>
  </si>
  <si>
    <t>Sum PV of explicit FCF</t>
  </si>
  <si>
    <t>Terminal value (FY2030)</t>
  </si>
  <si>
    <t>PV of terminal value</t>
  </si>
  <si>
    <t>(-) Net debt</t>
  </si>
  <si>
    <t>Equity value</t>
  </si>
  <si>
    <t>Diluted shares (mm)</t>
  </si>
  <si>
    <t>Intrinsic value / share</t>
  </si>
  <si>
    <t>Sensitivity — intrinsic value / share</t>
  </si>
  <si>
    <t>WACC ↓  /  term. growth →</t>
  </si>
  <si>
    <t>Celsius Holdings (CELH) — Comparable Companies</t>
  </si>
  <si>
    <t>Peer multiples are approximate (Jun 2026); refresh before use.</t>
  </si>
  <si>
    <t>Company</t>
  </si>
  <si>
    <t>Ticker</t>
  </si>
  <si>
    <t>EV/Revenue</t>
  </si>
  <si>
    <t>EV/EBITDA</t>
  </si>
  <si>
    <t>P/E</t>
  </si>
  <si>
    <t>Monster Beverage</t>
  </si>
  <si>
    <t>MNST</t>
  </si>
  <si>
    <t>Keurig Dr Pepper</t>
  </si>
  <si>
    <t>KDP</t>
  </si>
  <si>
    <t>Coca-Cola</t>
  </si>
  <si>
    <t>KO</t>
  </si>
  <si>
    <t>PepsiCo</t>
  </si>
  <si>
    <t>PEP</t>
  </si>
  <si>
    <t>Median</t>
  </si>
  <si>
    <t>Implied valuation for CELH</t>
  </si>
  <si>
    <t>CELH TTM revenue</t>
  </si>
  <si>
    <t>CELH adj. EBITDA</t>
  </si>
  <si>
    <t>CELH adj. EPS</t>
  </si>
  <si>
    <t>Shares (mm)</t>
  </si>
  <si>
    <t>Implied price — EV/Revenue (n.m.)</t>
  </si>
  <si>
    <t>Excluded: CELH margins &lt;&lt; peers, so revenue multiple overstates value</t>
  </si>
  <si>
    <t>Implied price — EV/EBITDA</t>
  </si>
  <si>
    <t>Implied price — P/E</t>
  </si>
  <si>
    <t>Average implied (EBITDA + P/E)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</si>
</sst>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"/>
    <numFmt numFmtId="166" formatCode="\$#,##0;&quot;($&quot;#,##0\);\-"/>
    <numFmt numFmtId="167" formatCode="0.000"/>
    <numFmt numFmtId="168" formatCode="0.0\x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C00000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i/>
      <sz val="8"/>
      <color rgb="FF808080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3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right" vertical="center"/>
    </xf>
    <xf numFmtId="0" fontId="2" fillId="0" borderId="0" xfId="0" applyFont="1"/>
    <xf numFmtId="164" fontId="7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4" borderId="0" xfId="0" applyFont="1" applyFill="1"/>
    <xf numFmtId="164" fontId="10" fillId="4" borderId="1" xfId="0" applyNumberFormat="1" applyFont="1" applyFill="1" applyBorder="1" applyAlignment="1">
      <alignment horizontal="right" vertical="center"/>
    </xf>
    <xf numFmtId="0" fontId="9" fillId="0" borderId="0" xfId="0" applyFont="1"/>
    <xf numFmtId="164" fontId="10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0" fontId="11" fillId="2" borderId="0" xfId="0" applyFont="1" applyFill="1"/>
    <xf numFmtId="0" fontId="9" fillId="3" borderId="0" xfId="0" applyFont="1" applyFill="1"/>
    <xf numFmtId="164" fontId="12" fillId="4" borderId="1" xfId="0" applyNumberFormat="1" applyFont="1" applyFill="1" applyBorder="1" applyAlignment="1">
      <alignment horizontal="right" vertical="center"/>
    </xf>
    <xf numFmtId="3" fontId="12" fillId="4" borderId="1" xfId="0" applyNumberFormat="1" applyFont="1" applyFill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12" fillId="4" borderId="1" xfId="0" applyNumberFormat="1" applyFont="1" applyFill="1" applyBorder="1" applyAlignment="1">
      <alignment horizontal="right" vertical="center"/>
    </xf>
    <xf numFmtId="165" fontId="12" fillId="4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68" fontId="12" fillId="4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/>
    <xf numFmtId="0" fontId="2" fillId="3" borderId="1" xfId="0" applyFont="1" applyFill="1" applyBorder="1"/>
    <xf numFmtId="168" fontId="9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CELH valuation range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Summary!$A$7:$A$13</c:f>
              <c:strCache>
                <c:ptCount val="7"/>
                <c:pt idx="0">
                  <c:v>DCF — base case</c:v>
                </c:pt>
                <c:pt idx="1">
                  <c:v>DCF — bull case</c:v>
                </c:pt>
                <c:pt idx="2">
                  <c:v>DCF — bear case</c:v>
                </c:pt>
                <c:pt idx="3">
                  <c:v>Comps — EV/EBITDA</c:v>
                </c:pt>
                <c:pt idx="4">
                  <c:v>Comps — P/E</c:v>
                </c:pt>
                <c:pt idx="5">
                  <c:v>Blended target</c:v>
                </c:pt>
                <c:pt idx="6">
                  <c:v>Current price</c:v>
                </c:pt>
              </c:strCache>
            </c:strRef>
          </c:cat>
          <c:val>
            <c:numRef>
              <c:f>Summary!$B$7:$B$13</c:f>
              <c:numCache>
                <c:formatCode>\$#,##0.00</c:formatCode>
                <c:ptCount val="7"/>
                <c:pt idx="0">
                  <c:v>26.228994296638849</c:v>
                </c:pt>
                <c:pt idx="1">
                  <c:v>37.519318899150463</c:v>
                </c:pt>
                <c:pt idx="2">
                  <c:v>20.233766314226219</c:v>
                </c:pt>
                <c:pt idx="3">
                  <c:v>39.208731028008138</c:v>
                </c:pt>
                <c:pt idx="4">
                  <c:v>25.728000000000002</c:v>
                </c:pt>
                <c:pt idx="5">
                  <c:v>30.388575108215662</c:v>
                </c:pt>
                <c:pt idx="6">
                  <c:v>30.8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F-EF4D-9561-E84A2F79D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33154"/>
        <c:axId val="16738132"/>
      </c:barChart>
      <c:catAx>
        <c:axId val="408331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38132"/>
        <c:crosses val="autoZero"/>
        <c:auto val="1"/>
        <c:lblAlgn val="ctr"/>
        <c:lblOffset val="100"/>
        <c:noMultiLvlLbl val="0"/>
      </c:catAx>
      <c:valAx>
        <c:axId val="167381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$/share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33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17</xdr:row>
      <xdr:rowOff>173260</xdr:rowOff>
    </xdr:from>
    <xdr:to>
      <xdr:col>3</xdr:col>
      <xdr:colOff>1258200</xdr:colOff>
      <xdr:row>31</xdr:row>
      <xdr:rowOff>26020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zoomScaleNormal="100" workbookViewId="0">
      <selection activeCell="D22" sqref="D22"/>
    </sheetView>
  </sheetViews>
  <sheetFormatPr baseColWidth="10" defaultColWidth="8.6640625" defaultRowHeight="15" x14ac:dyDescent="0.2"/>
  <cols>
    <col min="1" max="1" width="30" customWidth="1"/>
    <col min="2" max="3" width="16" customWidth="1"/>
    <col min="4" max="4" width="40" customWidth="1"/>
  </cols>
  <sheetData>
    <row r="1" spans="1:4" ht="18" x14ac:dyDescent="0.2">
      <c r="A1" s="1" t="s">
        <v>0</v>
      </c>
      <c r="B1" s="2"/>
      <c r="C1" s="2"/>
      <c r="D1" s="2"/>
    </row>
    <row r="2" spans="1:4" x14ac:dyDescent="0.2">
      <c r="A2" s="3" t="s">
        <v>1</v>
      </c>
    </row>
    <row r="4" spans="1:4" ht="17" x14ac:dyDescent="0.2">
      <c r="A4" s="4" t="s">
        <v>2</v>
      </c>
      <c r="B4" s="5" t="s">
        <v>3</v>
      </c>
      <c r="C4" s="6"/>
      <c r="D4" s="6"/>
    </row>
    <row r="6" spans="1:4" x14ac:dyDescent="0.2">
      <c r="A6" s="7" t="s">
        <v>4</v>
      </c>
      <c r="B6" s="8" t="s">
        <v>5</v>
      </c>
      <c r="C6" s="2"/>
      <c r="D6" s="2"/>
    </row>
    <row r="7" spans="1:4" x14ac:dyDescent="0.2">
      <c r="A7" s="9" t="s">
        <v>6</v>
      </c>
      <c r="B7" s="10">
        <f>DCF!B26</f>
        <v>26.228994296638849</v>
      </c>
      <c r="D7" s="11" t="s">
        <v>7</v>
      </c>
    </row>
    <row r="8" spans="1:4" x14ac:dyDescent="0.2">
      <c r="A8" s="9" t="s">
        <v>8</v>
      </c>
      <c r="B8" s="10">
        <f>DCF!G33</f>
        <v>37.519318899150463</v>
      </c>
      <c r="D8" s="11" t="s">
        <v>9</v>
      </c>
    </row>
    <row r="9" spans="1:4" x14ac:dyDescent="0.2">
      <c r="A9" s="9" t="s">
        <v>10</v>
      </c>
      <c r="B9" s="10">
        <f>DCF!C37</f>
        <v>20.233766314226219</v>
      </c>
      <c r="D9" s="11" t="s">
        <v>11</v>
      </c>
    </row>
    <row r="10" spans="1:4" x14ac:dyDescent="0.2">
      <c r="A10" s="9" t="s">
        <v>12</v>
      </c>
      <c r="B10" s="10">
        <f>Comps!B19</f>
        <v>39.208731028008138</v>
      </c>
      <c r="D10" s="11" t="s">
        <v>13</v>
      </c>
    </row>
    <row r="11" spans="1:4" x14ac:dyDescent="0.2">
      <c r="A11" s="9" t="s">
        <v>14</v>
      </c>
      <c r="B11" s="10">
        <f>Comps!B20</f>
        <v>25.728000000000002</v>
      </c>
      <c r="D11" s="11" t="s">
        <v>15</v>
      </c>
    </row>
    <row r="12" spans="1:4" x14ac:dyDescent="0.2">
      <c r="A12" s="12" t="s">
        <v>16</v>
      </c>
      <c r="B12" s="13">
        <f>AVERAGE(B7,B10,B11)</f>
        <v>30.388575108215662</v>
      </c>
      <c r="D12" s="11" t="s">
        <v>17</v>
      </c>
    </row>
    <row r="13" spans="1:4" x14ac:dyDescent="0.2">
      <c r="A13" s="14" t="s">
        <v>18</v>
      </c>
      <c r="B13" s="15">
        <f>Inputs!B5</f>
        <v>30.8</v>
      </c>
    </row>
    <row r="14" spans="1:4" x14ac:dyDescent="0.2">
      <c r="A14" s="14" t="s">
        <v>19</v>
      </c>
      <c r="B14" s="16">
        <f>B12/B13-1</f>
        <v>-1.3357951031959026E-2</v>
      </c>
    </row>
    <row r="17" spans="1:1" x14ac:dyDescent="0.2">
      <c r="A17" s="14" t="s">
        <v>20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showGridLines="0" zoomScaleNormal="100" workbookViewId="0">
      <selection activeCell="B17" sqref="B17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60" customWidth="1"/>
  </cols>
  <sheetData>
    <row r="1" spans="1:3" ht="17" x14ac:dyDescent="0.2">
      <c r="A1" s="17" t="s">
        <v>21</v>
      </c>
      <c r="B1" s="2"/>
      <c r="C1" s="2"/>
    </row>
    <row r="2" spans="1:3" x14ac:dyDescent="0.2">
      <c r="A2" s="3" t="s">
        <v>22</v>
      </c>
    </row>
    <row r="4" spans="1:3" x14ac:dyDescent="0.2">
      <c r="A4" s="18" t="s">
        <v>23</v>
      </c>
      <c r="B4" s="6"/>
      <c r="C4" s="6"/>
    </row>
    <row r="5" spans="1:3" x14ac:dyDescent="0.2">
      <c r="A5" s="9" t="s">
        <v>24</v>
      </c>
      <c r="B5" s="19">
        <v>30.8</v>
      </c>
      <c r="C5" s="11" t="s">
        <v>25</v>
      </c>
    </row>
    <row r="6" spans="1:3" x14ac:dyDescent="0.2">
      <c r="A6" s="9" t="s">
        <v>26</v>
      </c>
      <c r="B6" s="20">
        <v>255.64</v>
      </c>
      <c r="C6" s="11" t="s">
        <v>27</v>
      </c>
    </row>
    <row r="7" spans="1:3" x14ac:dyDescent="0.2">
      <c r="A7" s="9" t="s">
        <v>28</v>
      </c>
      <c r="B7" s="21">
        <f>B5*B6</f>
        <v>7873.7119999999995</v>
      </c>
    </row>
    <row r="8" spans="1:3" x14ac:dyDescent="0.2">
      <c r="A8" s="9" t="s">
        <v>29</v>
      </c>
      <c r="B8" s="22">
        <v>675.88</v>
      </c>
      <c r="C8" s="11" t="s">
        <v>30</v>
      </c>
    </row>
    <row r="9" spans="1:3" x14ac:dyDescent="0.2">
      <c r="A9" s="9" t="s">
        <v>31</v>
      </c>
      <c r="B9" s="22">
        <v>549.20000000000005</v>
      </c>
      <c r="C9" s="11" t="s">
        <v>32</v>
      </c>
    </row>
    <row r="10" spans="1:3" x14ac:dyDescent="0.2">
      <c r="A10" s="9" t="s">
        <v>33</v>
      </c>
      <c r="B10" s="21">
        <f>B8-B9</f>
        <v>126.67999999999995</v>
      </c>
    </row>
    <row r="11" spans="1:3" x14ac:dyDescent="0.2">
      <c r="A11" s="9" t="s">
        <v>34</v>
      </c>
      <c r="B11" s="21">
        <f>B7+B10</f>
        <v>8000.3919999999998</v>
      </c>
    </row>
    <row r="13" spans="1:3" x14ac:dyDescent="0.2">
      <c r="A13" s="18" t="s">
        <v>35</v>
      </c>
      <c r="B13" s="6"/>
      <c r="C13" s="6"/>
    </row>
    <row r="14" spans="1:3" x14ac:dyDescent="0.2">
      <c r="A14" s="9" t="s">
        <v>36</v>
      </c>
      <c r="B14" s="22">
        <v>2515</v>
      </c>
      <c r="C14" s="11" t="s">
        <v>37</v>
      </c>
    </row>
    <row r="15" spans="1:3" x14ac:dyDescent="0.2">
      <c r="A15" s="9" t="s">
        <v>38</v>
      </c>
      <c r="B15" s="22">
        <v>2969</v>
      </c>
      <c r="C15" s="11" t="s">
        <v>39</v>
      </c>
    </row>
    <row r="16" spans="1:3" x14ac:dyDescent="0.2">
      <c r="A16" s="9" t="s">
        <v>40</v>
      </c>
      <c r="B16" s="22">
        <v>174.01</v>
      </c>
      <c r="C16" s="11" t="s">
        <v>41</v>
      </c>
    </row>
    <row r="17" spans="1:3" x14ac:dyDescent="0.2">
      <c r="A17" s="9" t="s">
        <v>42</v>
      </c>
      <c r="B17" s="22">
        <v>500</v>
      </c>
      <c r="C17" s="11" t="s">
        <v>43</v>
      </c>
    </row>
    <row r="18" spans="1:3" x14ac:dyDescent="0.2">
      <c r="A18" s="9" t="s">
        <v>44</v>
      </c>
      <c r="B18" s="19">
        <v>1.34</v>
      </c>
      <c r="C18" s="11" t="s">
        <v>45</v>
      </c>
    </row>
    <row r="20" spans="1:3" x14ac:dyDescent="0.2">
      <c r="A20" s="18" t="s">
        <v>46</v>
      </c>
      <c r="B20" s="6"/>
      <c r="C20" s="6"/>
    </row>
    <row r="21" spans="1:3" x14ac:dyDescent="0.2">
      <c r="A21" s="9" t="s">
        <v>47</v>
      </c>
      <c r="B21" s="23">
        <v>0.25</v>
      </c>
      <c r="C21" s="11" t="s">
        <v>48</v>
      </c>
    </row>
    <row r="22" spans="1:3" x14ac:dyDescent="0.2">
      <c r="A22" s="9" t="s">
        <v>49</v>
      </c>
      <c r="B22" s="23">
        <v>9.5000000000000001E-2</v>
      </c>
      <c r="C22" s="11" t="s">
        <v>50</v>
      </c>
    </row>
    <row r="23" spans="1:3" x14ac:dyDescent="0.2">
      <c r="A23" s="9" t="s">
        <v>51</v>
      </c>
      <c r="B23" s="23">
        <v>0.03</v>
      </c>
      <c r="C23" s="11" t="s">
        <v>52</v>
      </c>
    </row>
    <row r="24" spans="1:3" x14ac:dyDescent="0.2">
      <c r="A24" s="9" t="s">
        <v>53</v>
      </c>
      <c r="B24" s="23">
        <v>0.03</v>
      </c>
      <c r="C24" s="11" t="s">
        <v>54</v>
      </c>
    </row>
    <row r="25" spans="1:3" x14ac:dyDescent="0.2">
      <c r="A25" s="9" t="s">
        <v>55</v>
      </c>
      <c r="B25" s="23">
        <v>0.03</v>
      </c>
      <c r="C25" s="11" t="s">
        <v>54</v>
      </c>
    </row>
    <row r="26" spans="1:3" x14ac:dyDescent="0.2">
      <c r="A26" s="9" t="s">
        <v>56</v>
      </c>
      <c r="B26" s="23">
        <v>0.05</v>
      </c>
      <c r="C26" s="11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showGridLines="0" zoomScaleNormal="100" workbookViewId="0">
      <selection activeCell="C5" sqref="C5"/>
    </sheetView>
  </sheetViews>
  <sheetFormatPr baseColWidth="10" defaultColWidth="8.6640625" defaultRowHeight="15" x14ac:dyDescent="0.2"/>
  <cols>
    <col min="1" max="1" width="30" customWidth="1"/>
    <col min="2" max="7" width="13" customWidth="1"/>
  </cols>
  <sheetData>
    <row r="1" spans="1:7" ht="17" x14ac:dyDescent="0.2">
      <c r="A1" s="17" t="s">
        <v>57</v>
      </c>
      <c r="B1" s="2"/>
      <c r="C1" s="2"/>
      <c r="D1" s="2"/>
      <c r="E1" s="2"/>
      <c r="F1" s="2"/>
      <c r="G1" s="2"/>
    </row>
    <row r="2" spans="1:7" x14ac:dyDescent="0.2">
      <c r="A2" s="3" t="s">
        <v>22</v>
      </c>
    </row>
    <row r="4" spans="1:7" x14ac:dyDescent="0.2">
      <c r="A4" s="24"/>
      <c r="B4" s="24" t="s">
        <v>58</v>
      </c>
      <c r="C4" s="24" t="s">
        <v>59</v>
      </c>
      <c r="D4" s="24" t="s">
        <v>60</v>
      </c>
      <c r="E4" s="24" t="s">
        <v>61</v>
      </c>
      <c r="F4" s="24" t="s">
        <v>62</v>
      </c>
      <c r="G4" s="24" t="s">
        <v>63</v>
      </c>
    </row>
    <row r="5" spans="1:7" x14ac:dyDescent="0.2">
      <c r="A5" s="9" t="s">
        <v>64</v>
      </c>
      <c r="B5" s="23"/>
      <c r="C5" s="23">
        <v>0.18</v>
      </c>
      <c r="D5" s="23">
        <v>0.14000000000000001</v>
      </c>
      <c r="E5" s="23">
        <v>0.11</v>
      </c>
      <c r="F5" s="23">
        <v>0.08</v>
      </c>
      <c r="G5" s="23">
        <v>0.06</v>
      </c>
    </row>
    <row r="6" spans="1:7" x14ac:dyDescent="0.2">
      <c r="A6" s="9" t="s">
        <v>65</v>
      </c>
      <c r="B6" s="25">
        <f>Inputs!B14</f>
        <v>2515</v>
      </c>
      <c r="C6" s="21">
        <f>B6*(1+C5)</f>
        <v>2967.7</v>
      </c>
      <c r="D6" s="21">
        <f>C6*(1+D5)</f>
        <v>3383.1780000000003</v>
      </c>
      <c r="E6" s="21">
        <f>D6*(1+E5)</f>
        <v>3755.3275800000006</v>
      </c>
      <c r="F6" s="21">
        <f>E6*(1+F5)</f>
        <v>4055.753786400001</v>
      </c>
      <c r="G6" s="21">
        <f>F6*(1+G5)</f>
        <v>4299.0990135840011</v>
      </c>
    </row>
    <row r="7" spans="1:7" x14ac:dyDescent="0.2">
      <c r="A7" s="9" t="s">
        <v>66</v>
      </c>
      <c r="B7" s="23"/>
      <c r="C7" s="23">
        <v>0.11</v>
      </c>
      <c r="D7" s="23">
        <v>0.13</v>
      </c>
      <c r="E7" s="23">
        <v>0.15</v>
      </c>
      <c r="F7" s="23">
        <v>0.16</v>
      </c>
      <c r="G7" s="23">
        <v>0.17</v>
      </c>
    </row>
    <row r="8" spans="1:7" x14ac:dyDescent="0.2">
      <c r="A8" s="9" t="s">
        <v>67</v>
      </c>
      <c r="B8" s="25">
        <f>Inputs!B16</f>
        <v>174.01</v>
      </c>
      <c r="C8" s="21">
        <f>C6*C7</f>
        <v>326.447</v>
      </c>
      <c r="D8" s="21">
        <f>D6*D7</f>
        <v>439.81314000000003</v>
      </c>
      <c r="E8" s="21">
        <f>E6*E7</f>
        <v>563.29913700000009</v>
      </c>
      <c r="F8" s="21">
        <f>F6*F7</f>
        <v>648.92060582400018</v>
      </c>
      <c r="G8" s="21">
        <f>G6*G7</f>
        <v>730.84683230928022</v>
      </c>
    </row>
    <row r="9" spans="1:7" x14ac:dyDescent="0.2">
      <c r="A9" s="9" t="s">
        <v>68</v>
      </c>
      <c r="C9" s="26">
        <f>Inputs!$B$21</f>
        <v>0.25</v>
      </c>
      <c r="D9" s="26">
        <f>Inputs!$B$21</f>
        <v>0.25</v>
      </c>
      <c r="E9" s="26">
        <f>Inputs!$B$21</f>
        <v>0.25</v>
      </c>
      <c r="F9" s="26">
        <f>Inputs!$B$21</f>
        <v>0.25</v>
      </c>
      <c r="G9" s="26">
        <f>Inputs!$B$21</f>
        <v>0.25</v>
      </c>
    </row>
    <row r="10" spans="1:7" x14ac:dyDescent="0.2">
      <c r="A10" s="9" t="s">
        <v>69</v>
      </c>
      <c r="C10" s="21">
        <f>C8*(1-C9)</f>
        <v>244.83525</v>
      </c>
      <c r="D10" s="21">
        <f>D8*(1-D9)</f>
        <v>329.85985500000004</v>
      </c>
      <c r="E10" s="21">
        <f>E8*(1-E9)</f>
        <v>422.47435275000009</v>
      </c>
      <c r="F10" s="21">
        <f>F8*(1-F9)</f>
        <v>486.69045436800013</v>
      </c>
      <c r="G10" s="21">
        <f>G8*(1-G9)</f>
        <v>548.13512423196016</v>
      </c>
    </row>
    <row r="11" spans="1:7" x14ac:dyDescent="0.2">
      <c r="A11" s="9" t="s">
        <v>70</v>
      </c>
      <c r="C11" s="21">
        <f>C6*Inputs!$B$24</f>
        <v>89.030999999999992</v>
      </c>
      <c r="D11" s="21">
        <f>D6*Inputs!$B$24</f>
        <v>101.49534000000001</v>
      </c>
      <c r="E11" s="21">
        <f>E6*Inputs!$B$24</f>
        <v>112.65982740000001</v>
      </c>
      <c r="F11" s="21">
        <f>F6*Inputs!$B$24</f>
        <v>121.67261359200002</v>
      </c>
      <c r="G11" s="21">
        <f>G6*Inputs!$B$24</f>
        <v>128.97297040752002</v>
      </c>
    </row>
    <row r="12" spans="1:7" x14ac:dyDescent="0.2">
      <c r="A12" s="9" t="s">
        <v>71</v>
      </c>
      <c r="C12" s="21">
        <f>-C6*Inputs!$B$25</f>
        <v>-89.030999999999992</v>
      </c>
      <c r="D12" s="21">
        <f>-D6*Inputs!$B$25</f>
        <v>-101.49534000000001</v>
      </c>
      <c r="E12" s="21">
        <f>-E6*Inputs!$B$25</f>
        <v>-112.65982740000001</v>
      </c>
      <c r="F12" s="21">
        <f>-F6*Inputs!$B$25</f>
        <v>-121.67261359200002</v>
      </c>
      <c r="G12" s="21">
        <f>-G6*Inputs!$B$25</f>
        <v>-128.97297040752002</v>
      </c>
    </row>
    <row r="13" spans="1:7" x14ac:dyDescent="0.2">
      <c r="A13" s="9" t="s">
        <v>72</v>
      </c>
      <c r="C13" s="21">
        <f>-(C6-B6)*Inputs!$B$26</f>
        <v>-22.634999999999991</v>
      </c>
      <c r="D13" s="21">
        <f>-(D6-C6)*Inputs!$B$26</f>
        <v>-20.773900000000026</v>
      </c>
      <c r="E13" s="21">
        <f>-(E6-D6)*Inputs!$B$26</f>
        <v>-18.607479000000012</v>
      </c>
      <c r="F13" s="21">
        <f>-(F6-E6)*Inputs!$B$26</f>
        <v>-15.021310320000021</v>
      </c>
      <c r="G13" s="21">
        <f>-(G6-F6)*Inputs!$B$26</f>
        <v>-12.167261359200007</v>
      </c>
    </row>
    <row r="14" spans="1:7" x14ac:dyDescent="0.2">
      <c r="A14" s="18" t="s">
        <v>73</v>
      </c>
      <c r="C14" s="27">
        <f>C10+C11+C12+C13</f>
        <v>222.20024999999998</v>
      </c>
      <c r="D14" s="27">
        <f>D10+D11+D12+D13</f>
        <v>309.08595500000001</v>
      </c>
      <c r="E14" s="27">
        <f>E10+E11+E12+E13</f>
        <v>403.86687375000008</v>
      </c>
      <c r="F14" s="27">
        <f>F10+F11+F12+F13</f>
        <v>471.66914404800019</v>
      </c>
      <c r="G14" s="27">
        <f>G10+G11+G12+G13</f>
        <v>535.96786287276018</v>
      </c>
    </row>
    <row r="15" spans="1:7" x14ac:dyDescent="0.2">
      <c r="A15" s="9" t="s">
        <v>74</v>
      </c>
      <c r="B15" s="28"/>
      <c r="C15" s="28">
        <v>1</v>
      </c>
      <c r="D15" s="28">
        <v>2</v>
      </c>
      <c r="E15" s="28">
        <v>3</v>
      </c>
      <c r="F15" s="28">
        <v>4</v>
      </c>
      <c r="G15" s="28">
        <v>5</v>
      </c>
    </row>
    <row r="16" spans="1:7" x14ac:dyDescent="0.2">
      <c r="A16" s="9" t="s">
        <v>75</v>
      </c>
      <c r="C16" s="29">
        <f>1/(1+Inputs!$B$22)^C15</f>
        <v>0.91324200913242015</v>
      </c>
      <c r="D16" s="29">
        <f>1/(1+Inputs!$B$22)^D15</f>
        <v>0.8340109672442193</v>
      </c>
      <c r="E16" s="29">
        <f>1/(1+Inputs!$B$22)^E15</f>
        <v>0.76165385136458386</v>
      </c>
      <c r="F16" s="29">
        <f>1/(1+Inputs!$B$22)^F15</f>
        <v>0.6955742934836382</v>
      </c>
      <c r="G16" s="29">
        <f>1/(1+Inputs!$B$22)^G15</f>
        <v>0.63522766528186136</v>
      </c>
    </row>
    <row r="17" spans="1:7" x14ac:dyDescent="0.2">
      <c r="A17" s="9" t="s">
        <v>76</v>
      </c>
      <c r="C17" s="21">
        <f>C14*C16</f>
        <v>202.92260273972602</v>
      </c>
      <c r="D17" s="21">
        <f>D14*D16</f>
        <v>257.78107629115323</v>
      </c>
      <c r="E17" s="21">
        <f>E14*E16</f>
        <v>307.60675983026169</v>
      </c>
      <c r="F17" s="21">
        <f>F14*F16</f>
        <v>328.08093162922012</v>
      </c>
      <c r="G17" s="21">
        <f>G14*G16</f>
        <v>340.46161419877228</v>
      </c>
    </row>
    <row r="19" spans="1:7" x14ac:dyDescent="0.2">
      <c r="A19" s="9" t="s">
        <v>77</v>
      </c>
      <c r="B19" s="21">
        <f>SUM(C17:G17)</f>
        <v>1436.8529846891333</v>
      </c>
    </row>
    <row r="20" spans="1:7" x14ac:dyDescent="0.2">
      <c r="A20" s="9" t="s">
        <v>78</v>
      </c>
      <c r="B20" s="21">
        <f>G14*(1+Inputs!B23)/(Inputs!B22-Inputs!B23)</f>
        <v>8493.0292116760465</v>
      </c>
    </row>
    <row r="21" spans="1:7" x14ac:dyDescent="0.2">
      <c r="A21" s="9" t="s">
        <v>79</v>
      </c>
      <c r="B21" s="21">
        <f>B20*G16</f>
        <v>5395.0071173036222</v>
      </c>
    </row>
    <row r="22" spans="1:7" x14ac:dyDescent="0.2">
      <c r="A22" s="18" t="s">
        <v>34</v>
      </c>
      <c r="B22" s="27">
        <f>B19+B21</f>
        <v>6831.8601019927555</v>
      </c>
    </row>
    <row r="23" spans="1:7" x14ac:dyDescent="0.2">
      <c r="A23" s="9" t="s">
        <v>80</v>
      </c>
      <c r="B23" s="25">
        <f>-Inputs!B10</f>
        <v>-126.67999999999995</v>
      </c>
    </row>
    <row r="24" spans="1:7" x14ac:dyDescent="0.2">
      <c r="A24" s="18" t="s">
        <v>81</v>
      </c>
      <c r="B24" s="27">
        <f>B22+B23</f>
        <v>6705.1801019927552</v>
      </c>
    </row>
    <row r="25" spans="1:7" x14ac:dyDescent="0.2">
      <c r="A25" s="9" t="s">
        <v>82</v>
      </c>
      <c r="B25" s="30">
        <f>Inputs!B6</f>
        <v>255.64</v>
      </c>
    </row>
    <row r="26" spans="1:7" x14ac:dyDescent="0.2">
      <c r="A26" s="12" t="s">
        <v>83</v>
      </c>
      <c r="B26" s="31">
        <f>B24/B25</f>
        <v>26.228994296638849</v>
      </c>
    </row>
    <row r="27" spans="1:7" x14ac:dyDescent="0.2">
      <c r="A27" s="9" t="s">
        <v>18</v>
      </c>
      <c r="B27" s="10">
        <f>Inputs!B5</f>
        <v>30.8</v>
      </c>
    </row>
    <row r="28" spans="1:7" x14ac:dyDescent="0.2">
      <c r="A28" s="14" t="s">
        <v>19</v>
      </c>
      <c r="B28" s="16">
        <f>B26/B27-1</f>
        <v>-0.14840927608315424</v>
      </c>
    </row>
    <row r="31" spans="1:7" x14ac:dyDescent="0.2">
      <c r="A31" s="7" t="s">
        <v>84</v>
      </c>
      <c r="B31" s="2"/>
      <c r="C31" s="2"/>
      <c r="D31" s="2"/>
      <c r="E31" s="2"/>
      <c r="F31" s="2"/>
      <c r="G31" s="2"/>
    </row>
    <row r="32" spans="1:7" x14ac:dyDescent="0.2">
      <c r="A32" s="32" t="s">
        <v>85</v>
      </c>
      <c r="C32" s="33">
        <v>0.02</v>
      </c>
      <c r="D32" s="33">
        <v>2.5000000000000001E-2</v>
      </c>
      <c r="E32" s="33">
        <v>0.03</v>
      </c>
      <c r="F32" s="33">
        <v>3.5000000000000003E-2</v>
      </c>
      <c r="G32" s="33">
        <v>0.04</v>
      </c>
    </row>
    <row r="33" spans="2:7" x14ac:dyDescent="0.2">
      <c r="B33" s="33">
        <v>8.5000000000000006E-2</v>
      </c>
      <c r="C33" s="34">
        <f>(SUMPRODUCT($C$14:$G$14,1/(1+$B33)^$C$15:$G$15)+($G$14*(1+C$32)/($B33-C$32))/((1+$B33)^$G$15)-Inputs!$B$10)/Inputs!$B$6</f>
        <v>27.175161662998754</v>
      </c>
      <c r="D33" s="34">
        <f>(SUMPRODUCT($C$14:$G$14,1/(1+$B33)^$C$15:$G$15)+($G$14*(1+D$32)/($B33-D$32))/((1+$B33)^$G$15)-Inputs!$B$10)/Inputs!$B$6</f>
        <v>29.114691144777197</v>
      </c>
      <c r="E33" s="34">
        <f>(SUMPRODUCT($C$14:$G$14,1/(1+$B33)^$C$15:$G$15)+($G$14*(1+E$32)/($B33-E$32))/((1+$B33)^$G$15)-Inputs!$B$10)/Inputs!$B$6</f>
        <v>31.406862350515361</v>
      </c>
      <c r="F33" s="34">
        <f>(SUMPRODUCT($C$14:$G$14,1/(1+$B33)^$C$15:$G$15)+($G$14*(1+F$32)/($B33-F$32))/((1+$B33)^$G$15)-Inputs!$B$10)/Inputs!$B$6</f>
        <v>34.157467797401146</v>
      </c>
      <c r="G33" s="34">
        <f>(SUMPRODUCT($C$14:$G$14,1/(1+$B33)^$C$15:$G$15)+($G$14*(1+G$32)/($B33-G$32))/((1+$B33)^$G$15)-Inputs!$B$10)/Inputs!$B$6</f>
        <v>37.519318899150463</v>
      </c>
    </row>
    <row r="34" spans="2:7" x14ac:dyDescent="0.2">
      <c r="B34" s="33">
        <v>0.09</v>
      </c>
      <c r="C34" s="34">
        <f>(SUMPRODUCT($C$14:$G$14,1/(1+$B34)^$C$15:$G$15)+($G$14*(1+C$32)/($B34-C$32))/((1+$B34)^$G$15)-Inputs!$B$10)/Inputs!$B$6</f>
        <v>25.064600028534816</v>
      </c>
      <c r="D34" s="34">
        <f>(SUMPRODUCT($C$14:$G$14,1/(1+$B34)^$C$15:$G$15)+($G$14*(1+D$32)/($B34-D$32))/((1+$B34)^$G$15)-Inputs!$B$10)/Inputs!$B$6</f>
        <v>26.696759376844835</v>
      </c>
      <c r="E34" s="34">
        <f>(SUMPRODUCT($C$14:$G$14,1/(1+$B34)^$C$15:$G$15)+($G$14*(1+E$32)/($B34-E$32))/((1+$B34)^$G$15)-Inputs!$B$10)/Inputs!$B$6</f>
        <v>28.600945283206542</v>
      </c>
      <c r="F34" s="34">
        <f>(SUMPRODUCT($C$14:$G$14,1/(1+$B34)^$C$15:$G$15)+($G$14*(1+F$32)/($B34-F$32))/((1+$B34)^$G$15)-Inputs!$B$10)/Inputs!$B$6</f>
        <v>30.851346808906726</v>
      </c>
      <c r="G34" s="34">
        <f>(SUMPRODUCT($C$14:$G$14,1/(1+$B34)^$C$15:$G$15)+($G$14*(1+G$32)/($B34-G$32))/((1+$B34)^$G$15)-Inputs!$B$10)/Inputs!$B$6</f>
        <v>33.551828639746951</v>
      </c>
    </row>
    <row r="35" spans="2:7" x14ac:dyDescent="0.2">
      <c r="B35" s="33">
        <v>9.5000000000000001E-2</v>
      </c>
      <c r="C35" s="34">
        <f>(SUMPRODUCT($C$14:$G$14,1/(1+$B35)^$C$15:$G$15)+($G$14*(1+C$32)/($B35-C$32))/((1+$B35)^$G$15)-Inputs!$B$10)/Inputs!$B$6</f>
        <v>23.237564300549352</v>
      </c>
      <c r="D35" s="34">
        <f>(SUMPRODUCT($C$14:$G$14,1/(1+$B35)^$C$15:$G$15)+($G$14*(1+D$32)/($B35-D$32))/((1+$B35)^$G$15)-Inputs!$B$10)/Inputs!$B$6</f>
        <v>24.62644251301947</v>
      </c>
      <c r="E35" s="35">
        <f>(SUMPRODUCT($C$14:$G$14,1/(1+$B35)^$C$15:$G$15)+($G$14*(1+E$32)/($B35-E$32))/((1+$B35)^$G$15)-Inputs!$B$10)/Inputs!$B$6</f>
        <v>26.228994296638849</v>
      </c>
      <c r="F35" s="34">
        <f>(SUMPRODUCT($C$14:$G$14,1/(1+$B35)^$C$15:$G$15)+($G$14*(1+F$32)/($B35-F$32))/((1+$B35)^$G$15)-Inputs!$B$10)/Inputs!$B$6</f>
        <v>28.098638044194779</v>
      </c>
      <c r="G35" s="34">
        <f>(SUMPRODUCT($C$14:$G$14,1/(1+$B35)^$C$15:$G$15)+($G$14*(1+G$32)/($B35-G$32))/((1+$B35)^$G$15)-Inputs!$B$10)/Inputs!$B$6</f>
        <v>30.308217018579075</v>
      </c>
    </row>
    <row r="36" spans="2:7" x14ac:dyDescent="0.2">
      <c r="B36" s="33">
        <v>0.1</v>
      </c>
      <c r="C36" s="34">
        <f>(SUMPRODUCT($C$14:$G$14,1/(1+$B36)^$C$15:$G$15)+($G$14*(1+C$32)/($B36-C$32))/((1+$B36)^$G$15)-Inputs!$B$10)/Inputs!$B$6</f>
        <v>21.640848348512524</v>
      </c>
      <c r="D36" s="34">
        <f>(SUMPRODUCT($C$14:$G$14,1/(1+$B36)^$C$15:$G$15)+($G$14*(1+D$32)/($B36-D$32))/((1+$B36)^$G$15)-Inputs!$B$10)/Inputs!$B$6</f>
        <v>22.834171191786123</v>
      </c>
      <c r="E36" s="34">
        <f>(SUMPRODUCT($C$14:$G$14,1/(1+$B36)^$C$15:$G$15)+($G$14*(1+E$32)/($B36-E$32))/((1+$B36)^$G$15)-Inputs!$B$10)/Inputs!$B$6</f>
        <v>24.197968726955956</v>
      </c>
      <c r="F36" s="34">
        <f>(SUMPRODUCT($C$14:$G$14,1/(1+$B36)^$C$15:$G$15)+($G$14*(1+F$32)/($B36-F$32))/((1+$B36)^$G$15)-Inputs!$B$10)/Inputs!$B$6</f>
        <v>25.771581267536526</v>
      </c>
      <c r="G36" s="34">
        <f>(SUMPRODUCT($C$14:$G$14,1/(1+$B36)^$C$15:$G$15)+($G$14*(1+G$32)/($B36-G$32))/((1+$B36)^$G$15)-Inputs!$B$10)/Inputs!$B$6</f>
        <v>27.607462564880532</v>
      </c>
    </row>
    <row r="37" spans="2:7" x14ac:dyDescent="0.2">
      <c r="B37" s="33">
        <v>0.105</v>
      </c>
      <c r="C37" s="34">
        <f>(SUMPRODUCT($C$14:$G$14,1/(1+$B37)^$C$15:$G$15)+($G$14*(1+C$32)/($B37-C$32))/((1+$B37)^$G$15)-Inputs!$B$10)/Inputs!$B$6</f>
        <v>20.233766314226219</v>
      </c>
      <c r="D37" s="34">
        <f>(SUMPRODUCT($C$14:$G$14,1/(1+$B37)^$C$15:$G$15)+($G$14*(1+D$32)/($B37-D$32))/((1+$B37)^$G$15)-Inputs!$B$10)/Inputs!$B$6</f>
        <v>21.267769603851999</v>
      </c>
      <c r="E37" s="34">
        <f>(SUMPRODUCT($C$14:$G$14,1/(1+$B37)^$C$15:$G$15)+($G$14*(1+E$32)/($B37-E$32))/((1+$B37)^$G$15)-Inputs!$B$10)/Inputs!$B$6</f>
        <v>22.439639998761219</v>
      </c>
      <c r="F37" s="34">
        <f>(SUMPRODUCT($C$14:$G$14,1/(1+$B37)^$C$15:$G$15)+($G$14*(1+F$32)/($B37-F$32))/((1+$B37)^$G$15)-Inputs!$B$10)/Inputs!$B$6</f>
        <v>23.778920450086034</v>
      </c>
      <c r="G37" s="34">
        <f>(SUMPRODUCT($C$14:$G$14,1/(1+$B37)^$C$15:$G$15)+($G$14*(1+G$32)/($B37-G$32))/((1+$B37)^$G$15)-Inputs!$B$10)/Inputs!$B$6</f>
        <v>25.324244047768516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zoomScaleNormal="100" workbookViewId="0">
      <selection activeCell="B12" sqref="B12"/>
    </sheetView>
  </sheetViews>
  <sheetFormatPr baseColWidth="10" defaultColWidth="8.6640625" defaultRowHeight="15" x14ac:dyDescent="0.2"/>
  <cols>
    <col min="1" max="1" width="24" customWidth="1"/>
    <col min="2" max="2" width="10" customWidth="1"/>
    <col min="3" max="3" width="13" customWidth="1"/>
    <col min="4" max="4" width="52" customWidth="1"/>
    <col min="5" max="5" width="13" customWidth="1"/>
  </cols>
  <sheetData>
    <row r="1" spans="1:5" ht="17" x14ac:dyDescent="0.2">
      <c r="A1" s="17" t="s">
        <v>86</v>
      </c>
      <c r="B1" s="2"/>
      <c r="C1" s="2"/>
      <c r="D1" s="2"/>
      <c r="E1" s="2"/>
    </row>
    <row r="2" spans="1:5" x14ac:dyDescent="0.2">
      <c r="A2" s="3" t="s">
        <v>87</v>
      </c>
    </row>
    <row r="4" spans="1:5" x14ac:dyDescent="0.2">
      <c r="A4" s="36" t="s">
        <v>88</v>
      </c>
      <c r="B4" s="36" t="s">
        <v>89</v>
      </c>
      <c r="C4" s="36" t="s">
        <v>90</v>
      </c>
      <c r="D4" s="36" t="s">
        <v>91</v>
      </c>
      <c r="E4" s="36" t="s">
        <v>92</v>
      </c>
    </row>
    <row r="5" spans="1:5" x14ac:dyDescent="0.2">
      <c r="A5" s="37" t="s">
        <v>93</v>
      </c>
      <c r="B5" s="38" t="s">
        <v>94</v>
      </c>
      <c r="C5" s="39">
        <v>10</v>
      </c>
      <c r="D5" s="39">
        <v>31.2</v>
      </c>
      <c r="E5" s="39">
        <v>35.299999999999997</v>
      </c>
    </row>
    <row r="6" spans="1:5" x14ac:dyDescent="0.2">
      <c r="A6" s="37" t="s">
        <v>95</v>
      </c>
      <c r="B6" s="38" t="s">
        <v>96</v>
      </c>
      <c r="C6" s="39">
        <v>4.7</v>
      </c>
      <c r="D6" s="39">
        <v>18</v>
      </c>
      <c r="E6" s="39">
        <v>12.2</v>
      </c>
    </row>
    <row r="7" spans="1:5" x14ac:dyDescent="0.2">
      <c r="A7" s="37" t="s">
        <v>97</v>
      </c>
      <c r="B7" s="38" t="s">
        <v>98</v>
      </c>
      <c r="C7" s="39">
        <v>7.7</v>
      </c>
      <c r="D7" s="39">
        <v>22.6</v>
      </c>
      <c r="E7" s="39">
        <v>22.8</v>
      </c>
    </row>
    <row r="8" spans="1:5" x14ac:dyDescent="0.2">
      <c r="A8" s="37" t="s">
        <v>99</v>
      </c>
      <c r="B8" s="38" t="s">
        <v>100</v>
      </c>
      <c r="C8" s="39">
        <v>2.5</v>
      </c>
      <c r="D8" s="39">
        <v>12.9</v>
      </c>
      <c r="E8" s="39">
        <v>15.6</v>
      </c>
    </row>
    <row r="9" spans="1:5" x14ac:dyDescent="0.2">
      <c r="A9" s="40" t="s">
        <v>101</v>
      </c>
      <c r="B9" s="41"/>
      <c r="C9" s="42">
        <f>MEDIAN(C5:C8)</f>
        <v>6.2</v>
      </c>
      <c r="D9" s="42">
        <f>MEDIAN(D5:D8)</f>
        <v>20.3</v>
      </c>
      <c r="E9" s="42">
        <f>MEDIAN(E5:E8)</f>
        <v>19.2</v>
      </c>
    </row>
    <row r="11" spans="1:5" x14ac:dyDescent="0.2">
      <c r="A11" s="7" t="s">
        <v>102</v>
      </c>
      <c r="B11" s="2"/>
      <c r="C11" s="2"/>
      <c r="D11" s="2"/>
      <c r="E11" s="2"/>
    </row>
    <row r="12" spans="1:5" x14ac:dyDescent="0.2">
      <c r="A12" s="9" t="s">
        <v>103</v>
      </c>
      <c r="B12" s="25">
        <f>Inputs!B15</f>
        <v>2969</v>
      </c>
    </row>
    <row r="13" spans="1:5" x14ac:dyDescent="0.2">
      <c r="A13" s="9" t="s">
        <v>104</v>
      </c>
      <c r="B13" s="25">
        <f>Inputs!B17</f>
        <v>500</v>
      </c>
    </row>
    <row r="14" spans="1:5" x14ac:dyDescent="0.2">
      <c r="A14" s="9" t="s">
        <v>105</v>
      </c>
      <c r="B14" s="10">
        <f>Inputs!B18</f>
        <v>1.34</v>
      </c>
    </row>
    <row r="15" spans="1:5" x14ac:dyDescent="0.2">
      <c r="A15" s="9" t="s">
        <v>33</v>
      </c>
      <c r="B15" s="25">
        <f>Inputs!B10</f>
        <v>126.67999999999995</v>
      </c>
    </row>
    <row r="16" spans="1:5" x14ac:dyDescent="0.2">
      <c r="A16" s="9" t="s">
        <v>106</v>
      </c>
      <c r="B16" s="30">
        <f>Inputs!B6</f>
        <v>255.64</v>
      </c>
    </row>
    <row r="18" spans="1:4" x14ac:dyDescent="0.2">
      <c r="A18" s="9" t="s">
        <v>107</v>
      </c>
      <c r="B18" s="34">
        <f>(C9*B12-B15)/B16</f>
        <v>71.511187607573149</v>
      </c>
      <c r="D18" s="11" t="s">
        <v>108</v>
      </c>
    </row>
    <row r="19" spans="1:4" x14ac:dyDescent="0.2">
      <c r="A19" s="9" t="s">
        <v>109</v>
      </c>
      <c r="B19" s="34">
        <f>(D9*B13-B15)/B16</f>
        <v>39.208731028008138</v>
      </c>
    </row>
    <row r="20" spans="1:4" x14ac:dyDescent="0.2">
      <c r="A20" s="9" t="s">
        <v>110</v>
      </c>
      <c r="B20" s="34">
        <f>E9*B14</f>
        <v>25.728000000000002</v>
      </c>
    </row>
    <row r="21" spans="1:4" x14ac:dyDescent="0.2">
      <c r="A21" s="12" t="s">
        <v>111</v>
      </c>
      <c r="B21" s="31">
        <f>AVERAGE(B19:B20)</f>
        <v>32.46836551400407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Inputs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Saatvik Machiraju</cp:lastModifiedBy>
  <cp:revision>1</cp:revision>
  <dcterms:created xsi:type="dcterms:W3CDTF">2026-06-18T21:40:01Z</dcterms:created>
  <dcterms:modified xsi:type="dcterms:W3CDTF">2026-06-18T21:51:54Z</dcterms:modified>
  <dc:language>en-US</dc:language>
</cp:coreProperties>
</file>